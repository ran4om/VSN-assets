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8475"/>
  </bookViews>
  <sheets>
    <sheet name="Bsp1" sheetId="1" r:id="rId1"/>
    <sheet name="Bsp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B11" i="1" l="1"/>
  <c r="B9" i="2" l="1"/>
  <c r="G15" i="1"/>
  <c r="G14" i="1"/>
  <c r="B10" i="1"/>
  <c r="B9" i="1"/>
</calcChain>
</file>

<file path=xl/sharedStrings.xml><?xml version="1.0" encoding="utf-8"?>
<sst xmlns="http://schemas.openxmlformats.org/spreadsheetml/2006/main" count="29" uniqueCount="20">
  <si>
    <t>Grundkapital</t>
  </si>
  <si>
    <t>Anzahl Aktien</t>
  </si>
  <si>
    <t>Jahresgewinn</t>
  </si>
  <si>
    <t>Wie hoch ist der Nennwert pro Aktie?</t>
  </si>
  <si>
    <t>Welche Steuer?</t>
  </si>
  <si>
    <t>- 5% Rücklage</t>
  </si>
  <si>
    <t>auszuschüttender Gewinn</t>
  </si>
  <si>
    <t>Dividende pro Aktie:</t>
  </si>
  <si>
    <t>= auszuschüttender Gewinn/Anzahl Aktien</t>
  </si>
  <si>
    <t>Dividende in % des Grundkapitals</t>
  </si>
  <si>
    <t>= auszuschüttender Gewinn/Grundkapital</t>
  </si>
  <si>
    <t>Wo steht die Rücklage in der Bilanz?</t>
  </si>
  <si>
    <t>Die gesetzliche Gewinnrücklage betrug zu Jahresanfang € 600.000</t>
  </si>
  <si>
    <t>Erfolgsverteilung AG - Lehrbeispiel</t>
  </si>
  <si>
    <t>Erfolgsverteilung AG - Übungsbeispiel</t>
  </si>
  <si>
    <t xml:space="preserve">Wieviel bekommt ein Aktionär, der 15% der Aktien hält? </t>
  </si>
  <si>
    <t>Stück</t>
  </si>
  <si>
    <t>5% des Gewinns müssen zur Gewinnrücklage hinzugefügt werden, da die gesetzlich vorgegebenen 10% vom Grundkapital noch nicht erreicht wurden.</t>
  </si>
  <si>
    <t>nach Steuerabzug</t>
  </si>
  <si>
    <t>Zusatzfrage: Wie wird der Preis der Aktie am Aktienmarkt berechnet?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</si>
</sst>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€&quot;\ * #,##0.00_-;\-&quot;€&quot;\ * #,##0.00_-;_-&quot;€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0" applyNumberFormat="1"/>
    <xf numFmtId="0" fontId="0" fillId="0" borderId="0" xfId="0" quotePrefix="1"/>
    <xf numFmtId="10" fontId="0" fillId="0" borderId="0" xfId="2" applyNumberFormat="1" applyFont="1"/>
    <xf numFmtId="0" fontId="0" fillId="0" borderId="0" xfId="0" applyAlignment="1">
      <alignment horizontal="left"/>
    </xf>
    <xf numFmtId="44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left"/>
    </xf>
    <xf numFmtId="3" fontId="0" fillId="0" borderId="4" xfId="0" applyNumberFormat="1" applyBorder="1"/>
    <xf numFmtId="0" fontId="0" fillId="0" borderId="5" xfId="0" applyBorder="1" applyAlignment="1">
      <alignment horizontal="left"/>
    </xf>
    <xf numFmtId="44" fontId="0" fillId="0" borderId="6" xfId="1" applyFont="1" applyBorder="1"/>
    <xf numFmtId="44" fontId="0" fillId="0" borderId="2" xfId="0" applyNumberFormat="1" applyBorder="1"/>
    <xf numFmtId="0" fontId="0" fillId="0" borderId="3" xfId="0" quotePrefix="1" applyBorder="1" applyAlignment="1">
      <alignment horizontal="left"/>
    </xf>
    <xf numFmtId="44" fontId="0" fillId="0" borderId="4" xfId="0" applyNumberFormat="1" applyBorder="1"/>
    <xf numFmtId="0" fontId="0" fillId="0" borderId="7" xfId="0" applyBorder="1" applyAlignment="1">
      <alignment horizontal="left" wrapText="1"/>
    </xf>
    <xf numFmtId="44" fontId="0" fillId="0" borderId="8" xfId="0" applyNumberFormat="1" applyBorder="1"/>
    <xf numFmtId="0" fontId="2" fillId="0" borderId="0" xfId="0" applyFont="1"/>
    <xf numFmtId="0" fontId="0" fillId="2" borderId="3" xfId="0" quotePrefix="1" applyFill="1" applyBorder="1" applyAlignment="1">
      <alignment horizontal="left"/>
    </xf>
    <xf numFmtId="44" fontId="0" fillId="2" borderId="4" xfId="0" applyNumberFormat="1" applyFill="1" applyBorder="1"/>
    <xf numFmtId="0" fontId="0" fillId="2" borderId="7" xfId="0" applyFill="1" applyBorder="1" applyAlignment="1">
      <alignment horizontal="left" wrapText="1"/>
    </xf>
    <xf numFmtId="44" fontId="0" fillId="2" borderId="8" xfId="0" applyNumberFormat="1" applyFill="1" applyBorder="1"/>
    <xf numFmtId="10" fontId="0" fillId="2" borderId="0" xfId="2" applyNumberFormat="1" applyFont="1" applyFill="1"/>
    <xf numFmtId="0" fontId="0" fillId="0" borderId="0" xfId="0" applyFill="1"/>
    <xf numFmtId="44" fontId="0" fillId="0" borderId="0" xfId="0" applyNumberFormat="1" applyFill="1"/>
    <xf numFmtId="0" fontId="0" fillId="0" borderId="0" xfId="0" applyFill="1" applyAlignme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Normal="100" workbookViewId="0">
      <selection activeCell="C11" sqref="C11"/>
    </sheetView>
  </sheetViews>
  <sheetFormatPr baseColWidth="10" defaultRowHeight="15" x14ac:dyDescent="0.25"/>
  <cols>
    <col min="1" max="1" width="17.5703125" customWidth="1"/>
    <col min="2" max="2" width="15.85546875" customWidth="1"/>
  </cols>
  <sheetData>
    <row r="1" spans="1:9" ht="18.75" x14ac:dyDescent="0.3">
      <c r="A1" s="18" t="s">
        <v>13</v>
      </c>
    </row>
    <row r="3" spans="1:9" x14ac:dyDescent="0.25">
      <c r="A3" s="7" t="s">
        <v>0</v>
      </c>
      <c r="B3" s="8">
        <v>3000000</v>
      </c>
      <c r="F3" t="s">
        <v>3</v>
      </c>
      <c r="I3" s="5"/>
    </row>
    <row r="4" spans="1:9" x14ac:dyDescent="0.25">
      <c r="A4" s="9" t="s">
        <v>1</v>
      </c>
      <c r="B4" s="10">
        <v>50000</v>
      </c>
      <c r="C4" t="s">
        <v>16</v>
      </c>
    </row>
    <row r="5" spans="1:9" x14ac:dyDescent="0.25">
      <c r="A5" s="11" t="s">
        <v>2</v>
      </c>
      <c r="B5" s="12">
        <v>400000</v>
      </c>
      <c r="C5" t="s">
        <v>18</v>
      </c>
      <c r="F5" t="s">
        <v>4</v>
      </c>
      <c r="H5" s="28"/>
      <c r="I5" s="28"/>
    </row>
    <row r="7" spans="1:9" x14ac:dyDescent="0.25">
      <c r="A7" t="s">
        <v>17</v>
      </c>
    </row>
    <row r="9" spans="1:9" x14ac:dyDescent="0.25">
      <c r="A9" s="7" t="s">
        <v>2</v>
      </c>
      <c r="B9" s="13">
        <f>B5</f>
        <v>400000</v>
      </c>
    </row>
    <row r="10" spans="1:9" ht="15.75" thickBot="1" x14ac:dyDescent="0.3">
      <c r="A10" s="14" t="s">
        <v>5</v>
      </c>
      <c r="B10" s="15">
        <f>B9*5%</f>
        <v>20000</v>
      </c>
      <c r="D10" t="s">
        <v>11</v>
      </c>
      <c r="G10" s="28"/>
      <c r="H10" s="28"/>
    </row>
    <row r="11" spans="1:9" ht="30" x14ac:dyDescent="0.25">
      <c r="A11" s="16" t="s">
        <v>6</v>
      </c>
      <c r="B11" s="17">
        <f>B9-B10</f>
        <v>380000</v>
      </c>
    </row>
    <row r="14" spans="1:9" x14ac:dyDescent="0.25">
      <c r="A14" s="27" t="s">
        <v>7</v>
      </c>
      <c r="B14" s="27"/>
      <c r="C14" s="2" t="s">
        <v>8</v>
      </c>
      <c r="G14" s="1">
        <f>B11/B4</f>
        <v>7.6</v>
      </c>
    </row>
    <row r="15" spans="1:9" x14ac:dyDescent="0.25">
      <c r="A15" s="27" t="s">
        <v>9</v>
      </c>
      <c r="B15" s="27"/>
      <c r="C15" s="2" t="s">
        <v>10</v>
      </c>
      <c r="G15" s="3">
        <f>B11/B3</f>
        <v>0.12666666666666668</v>
      </c>
    </row>
  </sheetData>
  <mergeCells count="4">
    <mergeCell ref="A14:B14"/>
    <mergeCell ref="A15:B15"/>
    <mergeCell ref="G10:H10"/>
    <mergeCell ref="H5:I5"/>
  </mergeCells>
  <pageMargins left="0.7" right="0.7" top="0.78740157499999996" bottom="0.78740157499999996" header="0.3" footer="0.3"/>
  <pageSetup paperSize="9" orientation="landscape" r:id="rId1"/>
  <headerFooter>
    <oddHeader>&amp;RBW 2IK</oddHeader>
    <oddFooter>&amp;R&amp;P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A23" sqref="A23"/>
    </sheetView>
  </sheetViews>
  <sheetFormatPr baseColWidth="10" defaultRowHeight="15" x14ac:dyDescent="0.25"/>
  <cols>
    <col min="1" max="1" width="17" customWidth="1"/>
    <col min="2" max="2" width="14.5703125" bestFit="1" customWidth="1"/>
    <col min="8" max="8" width="13" bestFit="1" customWidth="1"/>
    <col min="11" max="11" width="13" bestFit="1" customWidth="1"/>
  </cols>
  <sheetData>
    <row r="1" spans="1:11" ht="18.75" x14ac:dyDescent="0.3">
      <c r="A1" s="18" t="s">
        <v>14</v>
      </c>
    </row>
    <row r="3" spans="1:11" x14ac:dyDescent="0.25">
      <c r="A3" s="7" t="s">
        <v>0</v>
      </c>
      <c r="B3" s="8">
        <v>8000000</v>
      </c>
      <c r="H3" s="24"/>
      <c r="I3" s="25"/>
      <c r="J3" s="24"/>
    </row>
    <row r="4" spans="1:11" x14ac:dyDescent="0.25">
      <c r="A4" s="9" t="s">
        <v>1</v>
      </c>
      <c r="B4" s="10">
        <v>150000</v>
      </c>
      <c r="C4" t="s">
        <v>16</v>
      </c>
      <c r="H4" s="24"/>
      <c r="I4" s="24"/>
      <c r="J4" s="24"/>
    </row>
    <row r="5" spans="1:11" x14ac:dyDescent="0.25">
      <c r="A5" s="11" t="s">
        <v>2</v>
      </c>
      <c r="B5" s="12">
        <v>900000</v>
      </c>
      <c r="C5" t="s">
        <v>18</v>
      </c>
      <c r="H5" s="26"/>
      <c r="I5" s="26"/>
      <c r="J5" s="24"/>
    </row>
    <row r="6" spans="1:11" x14ac:dyDescent="0.25">
      <c r="H6" s="24"/>
      <c r="I6" s="24"/>
      <c r="J6" s="24"/>
    </row>
    <row r="7" spans="1:11" x14ac:dyDescent="0.25">
      <c r="A7" s="4" t="s">
        <v>12</v>
      </c>
      <c r="H7" s="24"/>
      <c r="I7" s="29"/>
      <c r="J7" s="29"/>
      <c r="K7" s="1"/>
    </row>
    <row r="8" spans="1:11" x14ac:dyDescent="0.25">
      <c r="H8" s="24"/>
      <c r="I8" s="24"/>
      <c r="J8" s="24"/>
    </row>
    <row r="9" spans="1:11" x14ac:dyDescent="0.25">
      <c r="A9" s="7" t="s">
        <v>2</v>
      </c>
      <c r="B9" s="13">
        <f>B5</f>
        <v>900000</v>
      </c>
    </row>
    <row r="10" spans="1:11" ht="15.75" thickBot="1" x14ac:dyDescent="0.3">
      <c r="A10" s="19"/>
      <c r="B10" s="20"/>
    </row>
    <row r="11" spans="1:11" x14ac:dyDescent="0.25">
      <c r="A11" s="21"/>
      <c r="B11" s="22"/>
    </row>
    <row r="14" spans="1:11" x14ac:dyDescent="0.25">
      <c r="A14" s="27" t="s">
        <v>7</v>
      </c>
      <c r="B14" s="27"/>
      <c r="C14" s="5"/>
      <c r="E14" t="s">
        <v>15</v>
      </c>
    </row>
    <row r="15" spans="1:11" x14ac:dyDescent="0.25">
      <c r="A15" s="27" t="s">
        <v>9</v>
      </c>
      <c r="B15" s="27"/>
      <c r="C15" s="23"/>
      <c r="E15" s="6"/>
      <c r="F15" s="6"/>
      <c r="H15" s="5"/>
    </row>
    <row r="17" spans="1:5" x14ac:dyDescent="0.25">
      <c r="A17" t="s">
        <v>19</v>
      </c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</sheetData>
  <mergeCells count="3">
    <mergeCell ref="I7:J7"/>
    <mergeCell ref="A14:B14"/>
    <mergeCell ref="A15:B15"/>
  </mergeCell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4778AB59033A42A828336D1B79A35F" ma:contentTypeVersion="11" ma:contentTypeDescription="Ein neues Dokument erstellen." ma:contentTypeScope="" ma:versionID="b3fa0d9204b9be57128d8f225b6e0889">
  <xsd:schema xmlns:xsd="http://www.w3.org/2001/XMLSchema" xmlns:xs="http://www.w3.org/2001/XMLSchema" xmlns:p="http://schemas.microsoft.com/office/2006/metadata/properties" xmlns:ns2="6da7e65f-cfeb-4d57-9c4b-e8f02ae7fcc5" xmlns:ns3="e59efcb7-749c-424f-86e3-9cd920d28a45" targetNamespace="http://schemas.microsoft.com/office/2006/metadata/properties" ma:root="true" ma:fieldsID="b44b828d2ae2e3334366b4fdacb2f8f1" ns2:_="" ns3:_="">
    <xsd:import namespace="6da7e65f-cfeb-4d57-9c4b-e8f02ae7fcc5"/>
    <xsd:import namespace="e59efcb7-749c-424f-86e3-9cd920d28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7e65f-cfeb-4d57-9c4b-e8f02ae7f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a7d90958-3596-4281-b653-75de248be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fcb7-749c-424f-86e3-9cd920d28a4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35f489-2996-4de0-a999-daba1ba27e26}" ma:internalName="TaxCatchAll" ma:showField="CatchAllData" ma:web="e59efcb7-749c-424f-86e3-9cd920d28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9efcb7-749c-424f-86e3-9cd920d28a45" xsi:nil="true"/>
    <lcf76f155ced4ddcb4097134ff3c332f xmlns="6da7e65f-cfeb-4d57-9c4b-e8f02ae7fc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97D35C-72D6-4133-AF55-3301498752BC}"/>
</file>

<file path=customXml/itemProps2.xml><?xml version="1.0" encoding="utf-8"?>
<ds:datastoreItem xmlns:ds="http://schemas.openxmlformats.org/officeDocument/2006/customXml" ds:itemID="{2942D39A-98C6-4B9C-A84F-B1C4CD7A42B5}"/>
</file>

<file path=customXml/itemProps3.xml><?xml version="1.0" encoding="utf-8"?>
<ds:datastoreItem xmlns:ds="http://schemas.openxmlformats.org/officeDocument/2006/customXml" ds:itemID="{1F2C3194-4FAD-4E6A-A8C8-AF686670C38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Bsp1</vt:lpstr>
      <vt:lpstr>Bsp2</vt:lpstr>
      <vt:lpstr>Tabelle3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TBader</dc:creator>
  <cp:lastModifiedBy>TBader</cp:lastModifiedBy>
  <cp:lastPrinted>2013-10-20T22:00:13Z</cp:lastPrinted>
  <dcterms:created xsi:type="dcterms:W3CDTF">2013-10-20T17:18:28Z</dcterms:created>
  <dcterms:modified xsi:type="dcterms:W3CDTF">2013-10-20T22:04:26Z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0x010100994778AB59033A42A828336D1B79A35F</vt:lpwstr>
  </property>
</Properties>
</file>